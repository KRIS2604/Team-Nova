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Plan Team No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<sst xmlns="http://schemas.openxmlformats.org/spreadsheetml/2006/main" count="217" uniqueCount="153">
  <si>
    <t xml:space="preserve">Test Planner and Tracker</t>
  </si>
  <si>
    <t xml:space="preserve">ProjectName </t>
  </si>
  <si>
    <t xml:space="preserve">AI-Driven Security Log Monitoring and Incident Response System (Team Nova)</t>
  </si>
  <si>
    <t xml:space="preserve">Test 
No. ID</t>
  </si>
  <si>
    <t xml:space="preserve"> Trace to User Story ID and Name</t>
  </si>
  <si>
    <t xml:space="preserve">Pre-conditions</t>
  </si>
  <si>
    <t xml:space="preserve">Test Description (steps) 
</t>
  </si>
  <si>
    <t xml:space="preserve">Expected Outcome</t>
  </si>
  <si>
    <t xml:space="preserve">Sprint 1 Outcome</t>
  </si>
  <si>
    <t xml:space="preserve">Sprint 2 Outcome</t>
  </si>
  <si>
    <t xml:space="preserve">Sprint 3 Outcome</t>
  </si>
  <si>
    <t xml:space="preserve">TC-I01
Data storage (system req)</t>
  </si>
  <si>
    <t xml:space="preserve">1.Python 3 installed
2.Run from the repo root
3.New empty test database</t>
  </si>
  <si>
    <t xml:space="preserve">1.Run the schema setup (db.connect).
2.List the tables in the database.</t>
  </si>
  <si>
    <t xml:space="preserve">Tables log_entries, alerts and incidents exist.</t>
  </si>
  <si>
    <t xml:space="preserve">Pass</t>
  </si>
  <si>
    <t xml:space="preserve">TC-I02
R1 Log Ingestion</t>
  </si>
  <si>
    <t xml:space="preserve">1.Load ingestion/sample_logs/auth.txt.
2.Check saved entries for user jsmith.</t>
  </si>
  <si>
    <t xml:space="preserve">11 entries saved; 5 failed logins for jsmith from 192.168.1.45.</t>
  </si>
  <si>
    <t xml:space="preserve">TC-I03
R1 Log Ingestion</t>
  </si>
  <si>
    <t xml:space="preserve">1.Load network.csv.
2.Check blocked connections.</t>
  </si>
  <si>
    <t xml:space="preserve">11 entries saved; 7 blocked connections from 10.0.0.87.</t>
  </si>
  <si>
    <t xml:space="preserve">TC-I04
R1 Log Ingestion</t>
  </si>
  <si>
    <t xml:space="preserve">1.Load system.jsonl.
2.Check event types.</t>
  </si>
  <si>
    <t xml:space="preserve">5 entries saved, process_start included.</t>
  </si>
  <si>
    <t xml:space="preserve">TC-I05
R1 Log Ingestion</t>
  </si>
  <si>
    <t xml:space="preserve">1.Load a web log line with a -0500 time zone.
2.Check the saved timestamp.</t>
  </si>
  <si>
    <t xml:space="preserve">Time saved in UTC (10:05 -0500 becomes 15:05Z).</t>
  </si>
  <si>
    <t xml:space="preserve">TC-I06
R1 Log Ingestion</t>
  </si>
  <si>
    <t xml:space="preserve">1.Run: python -m ingestion.ingest ingestion/sample_logs
2.Read the summary.</t>
  </si>
  <si>
    <t xml:space="preserve">4 files read, 34 entries saved, 7 lines rejected.</t>
  </si>
  <si>
    <t xml:space="preserve">TC-I07
R1 Log Ingestion (error case)</t>
  </si>
  <si>
    <t xml:space="preserve">1.Load a file with a line whose timestamp is "yesterday".</t>
  </si>
  <si>
    <t xml:space="preserve">That line is rejected as bad timestamp; other lines still saved.</t>
  </si>
  <si>
    <t xml:space="preserve">TC-I08
R1 Log Ingestion (error case)</t>
  </si>
  <si>
    <t xml:space="preserve">1.Load a line with IP 999.10.0.5.</t>
  </si>
  <si>
    <t xml:space="preserve">Line rejected as bad IP.</t>
  </si>
  <si>
    <t xml:space="preserve">TC-I09
R1 Log Ingestion (error case)</t>
  </si>
  <si>
    <t xml:space="preserve">1.Load broken JSON, a line with no timestamp and a short CSV row.</t>
  </si>
  <si>
    <t xml:space="preserve">Each line rejected with its reason, no crash.</t>
  </si>
  <si>
    <t xml:space="preserve">TC-I10
NF2 Reliability (error case)</t>
  </si>
  <si>
    <t xml:space="preserve">1.Load auth.txt.
2.Load auth.txt again.</t>
  </si>
  <si>
    <t xml:space="preserve">2nd run saves 0 and reports 11 duplicates.</t>
  </si>
  <si>
    <t xml:space="preserve">TC-I11
R1 Log Ingestion</t>
  </si>
  <si>
    <t xml:space="preserve">1.Python 3 installed
2.Run from the repo root
3.New empty test database
4.Sample logs loaded</t>
  </si>
  <si>
    <t xml:space="preserve">1.Get entries from 14:00 to 14:10 (get_log_entries).</t>
  </si>
  <si>
    <t xml:space="preserve">6 entries, oldest first, in the shared LogEntry format.</t>
  </si>
  <si>
    <t xml:space="preserve">TC-I12
R5 Severity / R8 Analyst feedback</t>
  </si>
  <si>
    <t xml:space="preserve">1.Insert an alert with severity "urgent".
2.Insert an alert with a fake log ID.
3.Insert a valid alert marked false positive.</t>
  </si>
  <si>
    <t xml:space="preserve">Steps 1 and 2 are refused by the database; step 3 is saved with the false positive flag.</t>
  </si>
  <si>
    <t xml:space="preserve">TC-I13
R1 Log Ingestion (error case)</t>
  </si>
  <si>
    <t xml:space="preserve">1.Try to load README.md as a log file.</t>
  </si>
  <si>
    <t xml:space="preserve">Clear error message, no crash.</t>
  </si>
  <si>
    <t xml:space="preserve">TC-I14
NF4 Performance</t>
  </si>
  <si>
    <t xml:space="preserve">1.Generate 10,000 log lines.
2.Load them and time it.</t>
  </si>
  <si>
    <t xml:space="preserve">All lines loaded in under 5 seconds.</t>
  </si>
  <si>
    <t xml:space="preserve">TC-I15
Data storage (system req)</t>
  </si>
  <si>
    <t xml:space="preserve">1.PostgreSQL server running
2.DATABASE_URL set in .env</t>
  </si>
  <si>
    <t xml:space="preserve">1.Run the schema on PostgreSQL.
2.Run the ingestion tests.</t>
  </si>
  <si>
    <t xml:space="preserve">Tables created and tests pass.</t>
  </si>
  <si>
    <t xml:space="preserve">Not run (Sprint 2)</t>
  </si>
  <si>
    <t xml:space="preserve">TC-DE01
R2 Anomaly/threat detection</t>
  </si>
  <si>
    <t xml:space="preserve">1.Sample logs loaded:
python -m ingestion.ingest ingestion/sample_logs</t>
  </si>
  <si>
    <t xml:space="preserve">1.Run the detection engine on the sample logs.</t>
  </si>
  <si>
    <t xml:space="preserve">Alert created for the jsmith brute-force logins with severity high or critical.</t>
  </si>
  <si>
    <t xml:space="preserve">TC-DE02
R2 Anomaly/threat detection</t>
  </si>
  <si>
    <t xml:space="preserve">Alert created for the port scan from 10.0.0.87.</t>
  </si>
  <si>
    <t xml:space="preserve">TC-A01
R3 Automated Incident Investigation</t>
  </si>
  <si>
    <t xml:space="preserve">1.Sample logs loaded:
python -m ingestion.ingest ingestion/sample_logs
2.Mock alerts available (agent/mock_alerts.json)</t>
  </si>
  <si>
    <t xml:space="preserve">1.Run: python -m agent.investigate --mock
2.Count alerts in the database.</t>
  </si>
  <si>
    <t xml:space="preserve">All 8 mock alerts load and each points to a real log entry.</t>
  </si>
  <si>
    <t xml:space="preserve">TC-A02
R3 Automated Incident Investigation</t>
  </si>
  <si>
    <t xml:space="preserve">1.Run --mock twice.
2.Count alerts.</t>
  </si>
  <si>
    <t xml:space="preserve">Still 8 alerts, no duplicates.</t>
  </si>
  <si>
    <t xml:space="preserve">TC-A03
R3 Automated Incident Investigation</t>
  </si>
  <si>
    <t xml:space="preserve">1.Give the agent 4 alerts: bob at 10:00, bob + IP 1.1.1.1 at 10:10, IP 1.1.1.1 at 10:20, amy at 10:05.</t>
  </si>
  <si>
    <t xml:space="preserve">The 3 linked alerts (same user or IP within 30 min) become one incident; amy's alert is its own incident.</t>
  </si>
  <si>
    <t xml:space="preserve">TC-A04
R3 Automated Incident Investigation</t>
  </si>
  <si>
    <t xml:space="preserve">1.Give the agent 2 alerts with the same user, 2 hours apart.</t>
  </si>
  <si>
    <t xml:space="preserve">They stay as two separate incidents.</t>
  </si>
  <si>
    <t xml:space="preserve">TC-A05
R3 Automated Incident Investigation</t>
  </si>
  <si>
    <t xml:space="preserve">1.Run the agent on all 8 mock alerts.
2.Run --show.</t>
  </si>
  <si>
    <t xml:space="preserve">5 incidents created; the 3 alerts from 10.0.0.87 are in one incident with severity high.</t>
  </si>
  <si>
    <t xml:space="preserve">TC-A06
R4 Incident Report Generation</t>
  </si>
  <si>
    <t xml:space="preserve">1.Sample logs loaded:
python -m ingestion.ingest ingestion/sample_logs
2.Mock alerts available (agent/mock_alerts.json)
3.No API key set</t>
  </si>
  <si>
    <t xml:space="preserve">1.Run the agent.
2.Open the jsmith incident report.</t>
  </si>
  <si>
    <t xml:space="preserve">Severity is critical, title says brute force, summary mentions 5 failed logins, affected system is auth-server-01.</t>
  </si>
  <si>
    <t xml:space="preserve">TC-A07
R3 / R7 (shared format)</t>
  </si>
  <si>
    <t xml:space="preserve">1.Run the agent.
2.Run --export incidents.json.</t>
  </si>
  <si>
    <t xml:space="preserve">Incidents are saved and read back in the shared Incident format (title, status, severity, alert_ids, report).</t>
  </si>
  <si>
    <t xml:space="preserve">TC-A08
R4 Incident Report Generation</t>
  </si>
  <si>
    <t xml:space="preserve">1.Sample logs loaded:
python -m ingestion.ingest ingestion/sample_logs
2.Mock alerts available (agent/mock_alerts.json)
3.LLM reply simulated in the test</t>
  </si>
  <si>
    <t xml:space="preserve">1.Run the report step with an LLM answer.</t>
  </si>
  <si>
    <t xml:space="preserve">The LLM's title and summary are used in the report.</t>
  </si>
  <si>
    <t xml:space="preserve">TC-A09
R4 Incident Report Generation (error case)</t>
  </si>
  <si>
    <t xml:space="preserve">1.Sample logs loaded:
python -m ingestion.ingest ingestion/sample_logs
2.Mock alerts available (agent/mock_alerts.json)
3.LLM call set to fail</t>
  </si>
  <si>
    <t xml:space="preserve">1.Run the report step when the LLM call fails.</t>
  </si>
  <si>
    <t xml:space="preserve">Template report is used instead, no crash.</t>
  </si>
  <si>
    <t xml:space="preserve">TC-A10
R3 (error case)</t>
  </si>
  <si>
    <t xml:space="preserve">1.Empty database, no logs loaded</t>
  </si>
  <si>
    <t xml:space="preserve">1.Run: python -m agent.investigate --mock</t>
  </si>
  <si>
    <t xml:space="preserve">Agent stops with a clear message telling the user to load logs first.</t>
  </si>
  <si>
    <t xml:space="preserve">TC-A11
R3 (error case)</t>
  </si>
  <si>
    <t xml:space="preserve">1.Load a mock alerts file with an alert whose log entry is not in the database.</t>
  </si>
  <si>
    <t xml:space="preserve">That alert is skipped and listed as skipped, no crash.</t>
  </si>
  <si>
    <t xml:space="preserve">TC-A12
R5 Flag threat as severity score</t>
  </si>
  <si>
    <t xml:space="preserve">1.Give the agent a low, a critical and a medium alert in one incident.</t>
  </si>
  <si>
    <t xml:space="preserve">Incident severity is critical (highest of its alerts).</t>
  </si>
  <si>
    <t xml:space="preserve">TC-D01
R7 Alert Dashboard</t>
  </si>
  <si>
    <t xml:space="preserve">1.dashboard/index.html open in Chrome
2.Mock data loaded (mock-data.js)</t>
  </si>
  <si>
    <t xml:space="preserve">1.Open the dashboard.</t>
  </si>
  <si>
    <t xml:space="preserve">6 alerts and 4 incidents load, no errors.</t>
  </si>
  <si>
    <t xml:space="preserve">TC-D02
R7 Alert Dashboard</t>
  </si>
  <si>
    <t xml:space="preserve">1.Look at the alerts table order.</t>
  </si>
  <si>
    <t xml:space="preserve">Newest alert shows first.</t>
  </si>
  <si>
    <t xml:space="preserve">TC-D03
R5 / R7 Severity filter</t>
  </si>
  <si>
    <t xml:space="preserve">1.Pick each severity in the filter dropdown.</t>
  </si>
  <si>
    <t xml:space="preserve">Critical 1, High 2, Medium 2, Low 1.</t>
  </si>
  <si>
    <t xml:space="preserve">TC-D04
R8 Analyst feedback</t>
  </si>
  <si>
    <t xml:space="preserve">1.Click "False positive" on an alert.</t>
  </si>
  <si>
    <t xml:space="preserve">Row shows "False positive" and the false positive counter goes up by 1.</t>
  </si>
  <si>
    <t xml:space="preserve">TC-D05
R8 Analyst feedback</t>
  </si>
  <si>
    <t xml:space="preserve">1.Click "Confirm" on an alert.</t>
  </si>
  <si>
    <t xml:space="preserve">Row shows "Confirmed", counter does not change.</t>
  </si>
  <si>
    <t xml:space="preserve">TC-D06
R8 Analyst feedback</t>
  </si>
  <si>
    <t xml:space="preserve">1.Mark an alert as false positive.
2.Refresh the page.</t>
  </si>
  <si>
    <t xml:space="preserve">The review is still saved after refresh.</t>
  </si>
  <si>
    <t xml:space="preserve">Fail - review is lost on refresh (no backend yet, Sprint 2)</t>
  </si>
  <si>
    <t xml:space="preserve">TC-D07
R4 / NF3 Usability</t>
  </si>
  <si>
    <t xml:space="preserve">1.Click an incident.
2.Click it again.</t>
  </si>
  <si>
    <t xml:space="preserve">AI report opens, then closes.</t>
  </si>
  <si>
    <t xml:space="preserve">TC-D08
NF6 Cross-platform</t>
  </si>
  <si>
    <t xml:space="preserve">1.Open the dashboard at phone width (375px).</t>
  </si>
  <si>
    <t xml:space="preserve">No sideways scroll, cards show 2 per row.</t>
  </si>
  <si>
    <t xml:space="preserve">TC-D09
R7 (error case)</t>
  </si>
  <si>
    <t xml:space="preserve">1.dashboard/index.html open
2.Mock data emptied</t>
  </si>
  <si>
    <t xml:space="preserve">1.Load the dashboard with no data.</t>
  </si>
  <si>
    <t xml:space="preserve">Shows "No alerts" and all counts are 0, no crash.</t>
  </si>
  <si>
    <t xml:space="preserve">TC-D10
NF6 Cross-platform</t>
  </si>
  <si>
    <t xml:space="preserve">1.Chrome, Firefox and Edge installed</t>
  </si>
  <si>
    <t xml:space="preserve">1.Open the dashboard in Chrome, Firefox and Edge.</t>
  </si>
  <si>
    <t xml:space="preserve">Works the same in all 3 browsers.</t>
  </si>
  <si>
    <t xml:space="preserve">Partial - Chrome passed; Firefox and Edge not tested yet</t>
  </si>
  <si>
    <t xml:space="preserve">Color key (Sprint outcome)</t>
  </si>
  <si>
    <t xml:space="preserve">Sprint 1 summary</t>
  </si>
  <si>
    <t xml:space="preserve">Green: passes completely</t>
  </si>
  <si>
    <t xml:space="preserve">Total test cases</t>
  </si>
  <si>
    <t xml:space="preserve">Yellow: partly works (see note)</t>
  </si>
  <si>
    <t xml:space="preserve">Passed</t>
  </si>
  <si>
    <t xml:space="preserve">Red: does not work</t>
  </si>
  <si>
    <t xml:space="preserve">Partial</t>
  </si>
  <si>
    <t xml:space="preserve">No color: not run yet (planned for Sprint 2)</t>
  </si>
  <si>
    <t xml:space="preserve">Failed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</si>
</sst>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D4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true" showRowColHeaders="true" showZeros="true" rightToLeft="false" tabSelected="true" showOutlineSymbols="true" defaultGridColor="true" view="normal" topLeftCell="A10" colorId="64" zoomScale="125" zoomScaleNormal="125" zoomScalePageLayoutView="100" workbookViewId="0">
      <pane xSplit="0" ySplit="3" topLeftCell="A4" activePane="bottomLeft" state="frozen"/>
      <selection pane="topLeft" activeCell="A10" activeCellId="0" sqref="A10"/>
      <selection pane="bottomLeft" activeCell="B2" activeCellId="0" sqref="B2"/>
    </sheetView>
  </sheetViews>
  <sheetFormatPr defaultColWidth="8.77734375" defaultRowHeight="12.75" zeroHeight="false" outlineLevelRow="0" outlineLevelCol="0"/>
  <cols>
    <col collapsed="false" customWidth="true" hidden="false" outlineLevel="0" max="1" min="1" style="0" width="9.44"/>
    <col collapsed="false" customWidth="true" hidden="false" outlineLevel="0" max="2" min="2" style="0" width="24"/>
    <col collapsed="false" customWidth="true" hidden="false" outlineLevel="0" max="3" min="3" style="0" width="23.11"/>
    <col collapsed="false" customWidth="true" hidden="false" outlineLevel="0" max="4" min="4" style="0" width="39"/>
    <col collapsed="false" customWidth="true" hidden="false" outlineLevel="0" max="5" min="5" style="0" width="27.67"/>
    <col collapsed="false" customWidth="true" hidden="false" outlineLevel="0" max="6" min="6" style="0" width="20"/>
    <col collapsed="false" customWidth="true" hidden="false" outlineLevel="0" max="7" min="7" style="0" width="17.33"/>
    <col collapsed="false" customWidth="true" hidden="false" outlineLevel="0" max="8" min="8" style="0" width="17.67"/>
  </cols>
  <sheetData>
    <row r="1" customFormat="false" ht="21" hidden="false" customHeight="true" outlineLevel="0" collapsed="false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3"/>
    </row>
    <row r="2" customFormat="false" ht="21" hidden="false" customHeight="true" outlineLevel="0" collapsed="false">
      <c r="A2" s="4"/>
      <c r="B2" s="4"/>
      <c r="C2" s="4"/>
      <c r="D2" s="2"/>
      <c r="E2" s="5"/>
      <c r="F2" s="6"/>
    </row>
    <row r="3" s="10" customFormat="true" ht="27" hidden="false" customHeight="true" outlineLevel="0" collapsed="false">
      <c r="A3" s="7" t="s">
        <v>3</v>
      </c>
      <c r="B3" s="8" t="s">
        <v>4</v>
      </c>
      <c r="C3" s="8" t="s">
        <v>5</v>
      </c>
      <c r="D3" s="7" t="s">
        <v>6</v>
      </c>
      <c r="E3" s="9" t="s">
        <v>7</v>
      </c>
      <c r="F3" s="7" t="s">
        <v>8</v>
      </c>
      <c r="G3" s="7" t="s">
        <v>9</v>
      </c>
      <c r="H3" s="7" t="s">
        <v>10</v>
      </c>
    </row>
    <row r="4" customFormat="false" ht="67.5" hidden="false" customHeight="true" outlineLevel="0" collapsed="false">
      <c r="A4" s="11" t="n">
        <v>1</v>
      </c>
      <c r="B4" s="12" t="s">
        <v>11</v>
      </c>
      <c r="C4" s="12" t="s">
        <v>12</v>
      </c>
      <c r="D4" s="12" t="s">
        <v>13</v>
      </c>
      <c r="E4" s="12" t="s">
        <v>14</v>
      </c>
      <c r="F4" s="13" t="s">
        <v>15</v>
      </c>
      <c r="G4" s="14"/>
      <c r="H4" s="14"/>
    </row>
    <row r="5" customFormat="false" ht="67.5" hidden="false" customHeight="true" outlineLevel="0" collapsed="false">
      <c r="A5" s="11" t="n">
        <f aca="false">A4+1</f>
        <v>2</v>
      </c>
      <c r="B5" s="12" t="s">
        <v>16</v>
      </c>
      <c r="C5" s="12" t="s">
        <v>12</v>
      </c>
      <c r="D5" s="12" t="s">
        <v>17</v>
      </c>
      <c r="E5" s="12" t="s">
        <v>18</v>
      </c>
      <c r="F5" s="13" t="s">
        <v>15</v>
      </c>
      <c r="G5" s="14"/>
      <c r="H5" s="14"/>
    </row>
    <row r="6" customFormat="false" ht="67.5" hidden="false" customHeight="true" outlineLevel="0" collapsed="false">
      <c r="A6" s="11" t="n">
        <f aca="false">A5+1</f>
        <v>3</v>
      </c>
      <c r="B6" s="12" t="s">
        <v>19</v>
      </c>
      <c r="C6" s="12" t="s">
        <v>12</v>
      </c>
      <c r="D6" s="12" t="s">
        <v>20</v>
      </c>
      <c r="E6" s="12" t="s">
        <v>21</v>
      </c>
      <c r="F6" s="13" t="s">
        <v>15</v>
      </c>
      <c r="G6" s="14"/>
      <c r="H6" s="14"/>
    </row>
    <row r="7" customFormat="false" ht="67.5" hidden="false" customHeight="true" outlineLevel="0" collapsed="false">
      <c r="A7" s="11" t="n">
        <f aca="false">A6+1</f>
        <v>4</v>
      </c>
      <c r="B7" s="12" t="s">
        <v>22</v>
      </c>
      <c r="C7" s="12" t="s">
        <v>12</v>
      </c>
      <c r="D7" s="12" t="s">
        <v>23</v>
      </c>
      <c r="E7" s="12" t="s">
        <v>24</v>
      </c>
      <c r="F7" s="13" t="s">
        <v>15</v>
      </c>
      <c r="G7" s="14"/>
      <c r="H7" s="14"/>
    </row>
    <row r="8" customFormat="false" ht="67.5" hidden="false" customHeight="true" outlineLevel="0" collapsed="false">
      <c r="A8" s="11" t="n">
        <f aca="false">A7+1</f>
        <v>5</v>
      </c>
      <c r="B8" s="12" t="s">
        <v>25</v>
      </c>
      <c r="C8" s="12" t="s">
        <v>12</v>
      </c>
      <c r="D8" s="12" t="s">
        <v>26</v>
      </c>
      <c r="E8" s="12" t="s">
        <v>27</v>
      </c>
      <c r="F8" s="13" t="s">
        <v>15</v>
      </c>
      <c r="G8" s="14"/>
      <c r="H8" s="14"/>
    </row>
    <row r="9" customFormat="false" ht="67.5" hidden="false" customHeight="true" outlineLevel="0" collapsed="false">
      <c r="A9" s="11" t="n">
        <f aca="false">A8+1</f>
        <v>6</v>
      </c>
      <c r="B9" s="12" t="s">
        <v>28</v>
      </c>
      <c r="C9" s="12" t="s">
        <v>12</v>
      </c>
      <c r="D9" s="12" t="s">
        <v>29</v>
      </c>
      <c r="E9" s="12" t="s">
        <v>30</v>
      </c>
      <c r="F9" s="13" t="s">
        <v>15</v>
      </c>
      <c r="G9" s="14"/>
      <c r="H9" s="14"/>
    </row>
    <row r="10" customFormat="false" ht="67.5" hidden="false" customHeight="true" outlineLevel="0" collapsed="false">
      <c r="A10" s="11" t="n">
        <f aca="false">A9+1</f>
        <v>7</v>
      </c>
      <c r="B10" s="12" t="s">
        <v>31</v>
      </c>
      <c r="C10" s="12" t="s">
        <v>12</v>
      </c>
      <c r="D10" s="12" t="s">
        <v>32</v>
      </c>
      <c r="E10" s="12" t="s">
        <v>33</v>
      </c>
      <c r="F10" s="13" t="s">
        <v>15</v>
      </c>
      <c r="G10" s="14"/>
      <c r="H10" s="14"/>
    </row>
    <row r="11" customFormat="false" ht="67.5" hidden="false" customHeight="true" outlineLevel="0" collapsed="false">
      <c r="A11" s="11" t="n">
        <f aca="false">A10+1</f>
        <v>8</v>
      </c>
      <c r="B11" s="12" t="s">
        <v>34</v>
      </c>
      <c r="C11" s="12" t="s">
        <v>12</v>
      </c>
      <c r="D11" s="12" t="s">
        <v>35</v>
      </c>
      <c r="E11" s="12" t="s">
        <v>36</v>
      </c>
      <c r="F11" s="13" t="s">
        <v>15</v>
      </c>
      <c r="G11" s="14"/>
      <c r="H11" s="14"/>
    </row>
    <row r="12" customFormat="false" ht="67.5" hidden="false" customHeight="true" outlineLevel="0" collapsed="false">
      <c r="A12" s="11" t="n">
        <f aca="false">A11+1</f>
        <v>9</v>
      </c>
      <c r="B12" s="12" t="s">
        <v>37</v>
      </c>
      <c r="C12" s="12" t="s">
        <v>12</v>
      </c>
      <c r="D12" s="12" t="s">
        <v>38</v>
      </c>
      <c r="E12" s="12" t="s">
        <v>39</v>
      </c>
      <c r="F12" s="13" t="s">
        <v>15</v>
      </c>
      <c r="G12" s="14"/>
      <c r="H12" s="14"/>
    </row>
    <row r="13" customFormat="false" ht="67.5" hidden="false" customHeight="true" outlineLevel="0" collapsed="false">
      <c r="A13" s="11" t="n">
        <f aca="false">A12+1</f>
        <v>10</v>
      </c>
      <c r="B13" s="12" t="s">
        <v>40</v>
      </c>
      <c r="C13" s="12" t="s">
        <v>12</v>
      </c>
      <c r="D13" s="12" t="s">
        <v>41</v>
      </c>
      <c r="E13" s="12" t="s">
        <v>42</v>
      </c>
      <c r="F13" s="13" t="s">
        <v>15</v>
      </c>
      <c r="G13" s="14"/>
      <c r="H13" s="14"/>
    </row>
    <row r="14" customFormat="false" ht="80.25" hidden="false" customHeight="true" outlineLevel="0" collapsed="false">
      <c r="A14" s="11" t="n">
        <f aca="false">A13+1</f>
        <v>11</v>
      </c>
      <c r="B14" s="12" t="s">
        <v>43</v>
      </c>
      <c r="C14" s="12" t="s">
        <v>44</v>
      </c>
      <c r="D14" s="12" t="s">
        <v>45</v>
      </c>
      <c r="E14" s="12" t="s">
        <v>46</v>
      </c>
      <c r="F14" s="13" t="s">
        <v>15</v>
      </c>
      <c r="G14" s="14"/>
      <c r="H14" s="14"/>
    </row>
    <row r="15" customFormat="false" ht="67.5" hidden="false" customHeight="true" outlineLevel="0" collapsed="false">
      <c r="A15" s="11" t="n">
        <f aca="false">A14+1</f>
        <v>12</v>
      </c>
      <c r="B15" s="12" t="s">
        <v>47</v>
      </c>
      <c r="C15" s="12" t="s">
        <v>12</v>
      </c>
      <c r="D15" s="12" t="s">
        <v>48</v>
      </c>
      <c r="E15" s="12" t="s">
        <v>49</v>
      </c>
      <c r="F15" s="13" t="s">
        <v>15</v>
      </c>
      <c r="G15" s="14"/>
      <c r="H15" s="14"/>
    </row>
    <row r="16" customFormat="false" ht="67.5" hidden="false" customHeight="true" outlineLevel="0" collapsed="false">
      <c r="A16" s="11" t="n">
        <f aca="false">A15+1</f>
        <v>13</v>
      </c>
      <c r="B16" s="12" t="s">
        <v>50</v>
      </c>
      <c r="C16" s="12" t="s">
        <v>12</v>
      </c>
      <c r="D16" s="12" t="s">
        <v>51</v>
      </c>
      <c r="E16" s="12" t="s">
        <v>52</v>
      </c>
      <c r="F16" s="13" t="s">
        <v>15</v>
      </c>
      <c r="G16" s="14"/>
      <c r="H16" s="14"/>
    </row>
    <row r="17" customFormat="false" ht="67.5" hidden="false" customHeight="true" outlineLevel="0" collapsed="false">
      <c r="A17" s="11" t="n">
        <f aca="false">A16+1</f>
        <v>14</v>
      </c>
      <c r="B17" s="12" t="s">
        <v>53</v>
      </c>
      <c r="C17" s="12" t="s">
        <v>12</v>
      </c>
      <c r="D17" s="12" t="s">
        <v>54</v>
      </c>
      <c r="E17" s="12" t="s">
        <v>55</v>
      </c>
      <c r="F17" s="13" t="s">
        <v>15</v>
      </c>
      <c r="G17" s="14"/>
      <c r="H17" s="14"/>
    </row>
    <row r="18" customFormat="false" ht="54.75" hidden="false" customHeight="true" outlineLevel="0" collapsed="false">
      <c r="A18" s="11" t="n">
        <f aca="false">A17+1</f>
        <v>15</v>
      </c>
      <c r="B18" s="12" t="s">
        <v>56</v>
      </c>
      <c r="C18" s="12" t="s">
        <v>57</v>
      </c>
      <c r="D18" s="12" t="s">
        <v>58</v>
      </c>
      <c r="E18" s="12" t="s">
        <v>59</v>
      </c>
      <c r="F18" s="14" t="s">
        <v>60</v>
      </c>
      <c r="G18" s="14"/>
      <c r="H18" s="14"/>
    </row>
    <row r="19" customFormat="false" ht="54.75" hidden="false" customHeight="true" outlineLevel="0" collapsed="false">
      <c r="A19" s="11" t="n">
        <f aca="false">A18+1</f>
        <v>16</v>
      </c>
      <c r="B19" s="12" t="s">
        <v>61</v>
      </c>
      <c r="C19" s="12" t="s">
        <v>62</v>
      </c>
      <c r="D19" s="12" t="s">
        <v>63</v>
      </c>
      <c r="E19" s="12" t="s">
        <v>64</v>
      </c>
      <c r="F19" s="14" t="s">
        <v>60</v>
      </c>
      <c r="G19" s="14"/>
      <c r="H19" s="14"/>
    </row>
    <row r="20" customFormat="false" ht="54.75" hidden="false" customHeight="true" outlineLevel="0" collapsed="false">
      <c r="A20" s="11" t="n">
        <f aca="false">A19+1</f>
        <v>17</v>
      </c>
      <c r="B20" s="12" t="s">
        <v>65</v>
      </c>
      <c r="C20" s="12" t="s">
        <v>62</v>
      </c>
      <c r="D20" s="12" t="s">
        <v>63</v>
      </c>
      <c r="E20" s="12" t="s">
        <v>66</v>
      </c>
      <c r="F20" s="14" t="s">
        <v>60</v>
      </c>
      <c r="G20" s="14"/>
      <c r="H20" s="14"/>
    </row>
    <row r="21" customFormat="false" ht="93" hidden="false" customHeight="true" outlineLevel="0" collapsed="false">
      <c r="A21" s="11" t="n">
        <f aca="false">A20+1</f>
        <v>18</v>
      </c>
      <c r="B21" s="12" t="s">
        <v>67</v>
      </c>
      <c r="C21" s="12" t="s">
        <v>68</v>
      </c>
      <c r="D21" s="12" t="s">
        <v>69</v>
      </c>
      <c r="E21" s="12" t="s">
        <v>70</v>
      </c>
      <c r="F21" s="13" t="s">
        <v>15</v>
      </c>
      <c r="G21" s="14"/>
      <c r="H21" s="14"/>
    </row>
    <row r="22" customFormat="false" ht="93" hidden="false" customHeight="true" outlineLevel="0" collapsed="false">
      <c r="A22" s="11" t="n">
        <f aca="false">A21+1</f>
        <v>19</v>
      </c>
      <c r="B22" s="12" t="s">
        <v>71</v>
      </c>
      <c r="C22" s="12" t="s">
        <v>68</v>
      </c>
      <c r="D22" s="12" t="s">
        <v>72</v>
      </c>
      <c r="E22" s="12" t="s">
        <v>73</v>
      </c>
      <c r="F22" s="13" t="s">
        <v>15</v>
      </c>
      <c r="G22" s="14"/>
      <c r="H22" s="14"/>
    </row>
    <row r="23" customFormat="false" ht="93" hidden="false" customHeight="true" outlineLevel="0" collapsed="false">
      <c r="A23" s="11" t="n">
        <f aca="false">A22+1</f>
        <v>20</v>
      </c>
      <c r="B23" s="12" t="s">
        <v>74</v>
      </c>
      <c r="C23" s="12" t="s">
        <v>68</v>
      </c>
      <c r="D23" s="12" t="s">
        <v>75</v>
      </c>
      <c r="E23" s="12" t="s">
        <v>76</v>
      </c>
      <c r="F23" s="13" t="s">
        <v>15</v>
      </c>
      <c r="G23" s="14"/>
      <c r="H23" s="14"/>
    </row>
    <row r="24" customFormat="false" ht="93" hidden="false" customHeight="true" outlineLevel="0" collapsed="false">
      <c r="A24" s="11" t="n">
        <f aca="false">A23+1</f>
        <v>21</v>
      </c>
      <c r="B24" s="12" t="s">
        <v>77</v>
      </c>
      <c r="C24" s="12" t="s">
        <v>68</v>
      </c>
      <c r="D24" s="12" t="s">
        <v>78</v>
      </c>
      <c r="E24" s="12" t="s">
        <v>79</v>
      </c>
      <c r="F24" s="13" t="s">
        <v>15</v>
      </c>
      <c r="G24" s="14"/>
      <c r="H24" s="14"/>
    </row>
    <row r="25" customFormat="false" ht="93" hidden="false" customHeight="true" outlineLevel="0" collapsed="false">
      <c r="A25" s="11" t="n">
        <f aca="false">A24+1</f>
        <v>22</v>
      </c>
      <c r="B25" s="12" t="s">
        <v>80</v>
      </c>
      <c r="C25" s="12" t="s">
        <v>68</v>
      </c>
      <c r="D25" s="12" t="s">
        <v>81</v>
      </c>
      <c r="E25" s="12" t="s">
        <v>82</v>
      </c>
      <c r="F25" s="13" t="s">
        <v>15</v>
      </c>
      <c r="G25" s="14"/>
      <c r="H25" s="14"/>
    </row>
    <row r="26" customFormat="false" ht="105.75" hidden="false" customHeight="true" outlineLevel="0" collapsed="false">
      <c r="A26" s="11" t="n">
        <f aca="false">A25+1</f>
        <v>23</v>
      </c>
      <c r="B26" s="12" t="s">
        <v>83</v>
      </c>
      <c r="C26" s="12" t="s">
        <v>84</v>
      </c>
      <c r="D26" s="12" t="s">
        <v>85</v>
      </c>
      <c r="E26" s="12" t="s">
        <v>86</v>
      </c>
      <c r="F26" s="13" t="s">
        <v>15</v>
      </c>
      <c r="G26" s="14"/>
      <c r="H26" s="14"/>
    </row>
    <row r="27" customFormat="false" ht="93" hidden="false" customHeight="true" outlineLevel="0" collapsed="false">
      <c r="A27" s="11" t="n">
        <f aca="false">A26+1</f>
        <v>24</v>
      </c>
      <c r="B27" s="12" t="s">
        <v>87</v>
      </c>
      <c r="C27" s="12" t="s">
        <v>68</v>
      </c>
      <c r="D27" s="12" t="s">
        <v>88</v>
      </c>
      <c r="E27" s="12" t="s">
        <v>89</v>
      </c>
      <c r="F27" s="13" t="s">
        <v>15</v>
      </c>
      <c r="G27" s="14"/>
      <c r="H27" s="14"/>
    </row>
    <row r="28" customFormat="false" ht="118.5" hidden="false" customHeight="true" outlineLevel="0" collapsed="false">
      <c r="A28" s="11" t="n">
        <f aca="false">A27+1</f>
        <v>25</v>
      </c>
      <c r="B28" s="12" t="s">
        <v>90</v>
      </c>
      <c r="C28" s="12" t="s">
        <v>91</v>
      </c>
      <c r="D28" s="12" t="s">
        <v>92</v>
      </c>
      <c r="E28" s="12" t="s">
        <v>93</v>
      </c>
      <c r="F28" s="13" t="s">
        <v>15</v>
      </c>
      <c r="G28" s="14"/>
      <c r="H28" s="14"/>
    </row>
    <row r="29" customFormat="false" ht="105.75" hidden="false" customHeight="true" outlineLevel="0" collapsed="false">
      <c r="A29" s="11" t="n">
        <f aca="false">A28+1</f>
        <v>26</v>
      </c>
      <c r="B29" s="12" t="s">
        <v>94</v>
      </c>
      <c r="C29" s="12" t="s">
        <v>95</v>
      </c>
      <c r="D29" s="12" t="s">
        <v>96</v>
      </c>
      <c r="E29" s="12" t="s">
        <v>97</v>
      </c>
      <c r="F29" s="13" t="s">
        <v>15</v>
      </c>
      <c r="G29" s="14"/>
      <c r="H29" s="14"/>
    </row>
    <row r="30" customFormat="false" ht="42" hidden="false" customHeight="true" outlineLevel="0" collapsed="false">
      <c r="A30" s="11" t="n">
        <f aca="false">A29+1</f>
        <v>27</v>
      </c>
      <c r="B30" s="12" t="s">
        <v>98</v>
      </c>
      <c r="C30" s="12" t="s">
        <v>99</v>
      </c>
      <c r="D30" s="12" t="s">
        <v>100</v>
      </c>
      <c r="E30" s="12" t="s">
        <v>101</v>
      </c>
      <c r="F30" s="13" t="s">
        <v>15</v>
      </c>
      <c r="G30" s="14"/>
      <c r="H30" s="14"/>
    </row>
    <row r="31" customFormat="false" ht="93" hidden="false" customHeight="true" outlineLevel="0" collapsed="false">
      <c r="A31" s="11" t="n">
        <f aca="false">A30+1</f>
        <v>28</v>
      </c>
      <c r="B31" s="12" t="s">
        <v>102</v>
      </c>
      <c r="C31" s="12" t="s">
        <v>68</v>
      </c>
      <c r="D31" s="12" t="s">
        <v>103</v>
      </c>
      <c r="E31" s="12" t="s">
        <v>104</v>
      </c>
      <c r="F31" s="13" t="s">
        <v>15</v>
      </c>
      <c r="G31" s="14"/>
      <c r="H31" s="14"/>
    </row>
    <row r="32" customFormat="false" ht="93" hidden="false" customHeight="true" outlineLevel="0" collapsed="false">
      <c r="A32" s="11" t="n">
        <f aca="false">A31+1</f>
        <v>29</v>
      </c>
      <c r="B32" s="12" t="s">
        <v>105</v>
      </c>
      <c r="C32" s="12" t="s">
        <v>68</v>
      </c>
      <c r="D32" s="12" t="s">
        <v>106</v>
      </c>
      <c r="E32" s="12" t="s">
        <v>107</v>
      </c>
      <c r="F32" s="13" t="s">
        <v>15</v>
      </c>
      <c r="G32" s="14"/>
      <c r="H32" s="14"/>
    </row>
    <row r="33" customFormat="false" ht="54.75" hidden="false" customHeight="true" outlineLevel="0" collapsed="false">
      <c r="A33" s="11" t="n">
        <f aca="false">A32+1</f>
        <v>30</v>
      </c>
      <c r="B33" s="12" t="s">
        <v>108</v>
      </c>
      <c r="C33" s="12" t="s">
        <v>109</v>
      </c>
      <c r="D33" s="12" t="s">
        <v>110</v>
      </c>
      <c r="E33" s="12" t="s">
        <v>111</v>
      </c>
      <c r="F33" s="13" t="s">
        <v>15</v>
      </c>
      <c r="G33" s="14"/>
      <c r="H33" s="14"/>
    </row>
    <row r="34" customFormat="false" ht="54.75" hidden="false" customHeight="true" outlineLevel="0" collapsed="false">
      <c r="A34" s="11" t="n">
        <f aca="false">A33+1</f>
        <v>31</v>
      </c>
      <c r="B34" s="12" t="s">
        <v>112</v>
      </c>
      <c r="C34" s="12" t="s">
        <v>109</v>
      </c>
      <c r="D34" s="12" t="s">
        <v>113</v>
      </c>
      <c r="E34" s="12" t="s">
        <v>114</v>
      </c>
      <c r="F34" s="13" t="s">
        <v>15</v>
      </c>
      <c r="G34" s="14"/>
      <c r="H34" s="14"/>
    </row>
    <row r="35" customFormat="false" ht="54.75" hidden="false" customHeight="true" outlineLevel="0" collapsed="false">
      <c r="A35" s="11" t="n">
        <f aca="false">A34+1</f>
        <v>32</v>
      </c>
      <c r="B35" s="12" t="s">
        <v>115</v>
      </c>
      <c r="C35" s="12" t="s">
        <v>109</v>
      </c>
      <c r="D35" s="12" t="s">
        <v>116</v>
      </c>
      <c r="E35" s="12" t="s">
        <v>117</v>
      </c>
      <c r="F35" s="13" t="s">
        <v>15</v>
      </c>
      <c r="G35" s="14"/>
      <c r="H35" s="14"/>
    </row>
    <row r="36" customFormat="false" ht="54.75" hidden="false" customHeight="true" outlineLevel="0" collapsed="false">
      <c r="A36" s="11" t="n">
        <f aca="false">A35+1</f>
        <v>33</v>
      </c>
      <c r="B36" s="12" t="s">
        <v>118</v>
      </c>
      <c r="C36" s="12" t="s">
        <v>109</v>
      </c>
      <c r="D36" s="12" t="s">
        <v>119</v>
      </c>
      <c r="E36" s="12" t="s">
        <v>120</v>
      </c>
      <c r="F36" s="13" t="s">
        <v>15</v>
      </c>
      <c r="G36" s="14"/>
      <c r="H36" s="14"/>
    </row>
    <row r="37" customFormat="false" ht="54.75" hidden="false" customHeight="true" outlineLevel="0" collapsed="false">
      <c r="A37" s="11" t="n">
        <f aca="false">A36+1</f>
        <v>34</v>
      </c>
      <c r="B37" s="12" t="s">
        <v>121</v>
      </c>
      <c r="C37" s="12" t="s">
        <v>109</v>
      </c>
      <c r="D37" s="12" t="s">
        <v>122</v>
      </c>
      <c r="E37" s="12" t="s">
        <v>123</v>
      </c>
      <c r="F37" s="13" t="s">
        <v>15</v>
      </c>
      <c r="G37" s="14"/>
      <c r="H37" s="14"/>
    </row>
    <row r="38" customFormat="false" ht="54.75" hidden="false" customHeight="true" outlineLevel="0" collapsed="false">
      <c r="A38" s="11" t="n">
        <f aca="false">A37+1</f>
        <v>35</v>
      </c>
      <c r="B38" s="12" t="s">
        <v>124</v>
      </c>
      <c r="C38" s="12" t="s">
        <v>109</v>
      </c>
      <c r="D38" s="12" t="s">
        <v>125</v>
      </c>
      <c r="E38" s="12" t="s">
        <v>126</v>
      </c>
      <c r="F38" s="15" t="s">
        <v>127</v>
      </c>
      <c r="G38" s="14"/>
      <c r="H38" s="14"/>
    </row>
    <row r="39" customFormat="false" ht="54.75" hidden="false" customHeight="true" outlineLevel="0" collapsed="false">
      <c r="A39" s="11" t="n">
        <f aca="false">A38+1</f>
        <v>36</v>
      </c>
      <c r="B39" s="12" t="s">
        <v>128</v>
      </c>
      <c r="C39" s="12" t="s">
        <v>109</v>
      </c>
      <c r="D39" s="12" t="s">
        <v>129</v>
      </c>
      <c r="E39" s="12" t="s">
        <v>130</v>
      </c>
      <c r="F39" s="13" t="s">
        <v>15</v>
      </c>
      <c r="G39" s="14"/>
      <c r="H39" s="14"/>
    </row>
    <row r="40" customFormat="false" ht="54.75" hidden="false" customHeight="true" outlineLevel="0" collapsed="false">
      <c r="A40" s="11" t="n">
        <f aca="false">A39+1</f>
        <v>37</v>
      </c>
      <c r="B40" s="12" t="s">
        <v>131</v>
      </c>
      <c r="C40" s="12" t="s">
        <v>109</v>
      </c>
      <c r="D40" s="12" t="s">
        <v>132</v>
      </c>
      <c r="E40" s="12" t="s">
        <v>133</v>
      </c>
      <c r="F40" s="13" t="s">
        <v>15</v>
      </c>
      <c r="G40" s="14"/>
      <c r="H40" s="14"/>
    </row>
    <row r="41" customFormat="false" ht="42" hidden="false" customHeight="true" outlineLevel="0" collapsed="false">
      <c r="A41" s="11" t="n">
        <f aca="false">A40+1</f>
        <v>38</v>
      </c>
      <c r="B41" s="12" t="s">
        <v>134</v>
      </c>
      <c r="C41" s="12" t="s">
        <v>135</v>
      </c>
      <c r="D41" s="12" t="s">
        <v>136</v>
      </c>
      <c r="E41" s="12" t="s">
        <v>137</v>
      </c>
      <c r="F41" s="13" t="s">
        <v>15</v>
      </c>
      <c r="G41" s="14"/>
      <c r="H41" s="14"/>
    </row>
    <row r="42" customFormat="false" ht="42" hidden="false" customHeight="true" outlineLevel="0" collapsed="false">
      <c r="A42" s="11" t="n">
        <f aca="false">A41+1</f>
        <v>39</v>
      </c>
      <c r="B42" s="12" t="s">
        <v>138</v>
      </c>
      <c r="C42" s="12" t="s">
        <v>139</v>
      </c>
      <c r="D42" s="12" t="s">
        <v>140</v>
      </c>
      <c r="E42" s="12" t="s">
        <v>141</v>
      </c>
      <c r="F42" s="16" t="s">
        <v>142</v>
      </c>
      <c r="G42" s="14"/>
      <c r="H42" s="14"/>
    </row>
    <row r="44" customFormat="false" ht="12.75" hidden="false" customHeight="false" outlineLevel="0" collapsed="false">
      <c r="B44" s="17" t="s">
        <v>143</v>
      </c>
      <c r="D44" s="17" t="s">
        <v>144</v>
      </c>
    </row>
    <row r="45" customFormat="false" ht="12.75" hidden="false" customHeight="false" outlineLevel="0" collapsed="false">
      <c r="B45" s="18" t="s">
        <v>145</v>
      </c>
      <c r="D45" s="0" t="s">
        <v>146</v>
      </c>
      <c r="E45" s="19" t="n">
        <f aca="false">COUNTA(B4:B42)</f>
        <v>39</v>
      </c>
    </row>
    <row r="46" customFormat="false" ht="12.75" hidden="false" customHeight="false" outlineLevel="0" collapsed="false">
      <c r="B46" s="20" t="s">
        <v>147</v>
      </c>
      <c r="D46" s="0" t="s">
        <v>148</v>
      </c>
      <c r="E46" s="19" t="n">
        <f aca="false">COUNTIF(F4:F42,"Pass")</f>
        <v>34</v>
      </c>
    </row>
    <row r="47" customFormat="false" ht="12.75" hidden="false" customHeight="false" outlineLevel="0" collapsed="false">
      <c r="B47" s="21" t="s">
        <v>149</v>
      </c>
      <c r="D47" s="0" t="s">
        <v>150</v>
      </c>
      <c r="E47" s="19" t="n">
        <f aca="false">COUNTIF(F4:F42,"Partial*")</f>
        <v>1</v>
      </c>
    </row>
    <row r="48" customFormat="false" ht="12.75" hidden="false" customHeight="false" outlineLevel="0" collapsed="false">
      <c r="B48" s="0" t="s">
        <v>151</v>
      </c>
      <c r="D48" s="0" t="s">
        <v>152</v>
      </c>
      <c r="E48" s="19" t="n">
        <f aca="false">COUNTIF(F4:F42,"Fail*")</f>
        <v>1</v>
      </c>
    </row>
    <row r="49" customFormat="false" ht="12.75" hidden="false" customHeight="false" outlineLevel="0" collapsed="false">
      <c r="D49" s="0" t="s">
        <v>60</v>
      </c>
      <c r="E49" s="19" t="n">
        <f aca="false">COUNTIF(F4:F42,"Not run*")</f>
        <v>3</v>
      </c>
    </row>
  </sheetData>
  <mergeCells count="2">
    <mergeCell ref="A1:C1"/>
    <mergeCell ref="E1:H1"/>
  </mergeCells>
  <printOptions headings="false" gridLines="false" gridLinesSet="true" horizontalCentered="true" verticalCentered="false"/>
  <pageMargins left="0.75" right="0.75" top="0.75" bottom="0.75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&amp;R&amp;D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2003-09-06T20:54:21Z</dcterms:created>
  <dc:creator>swami</dc:creator>
  <dc:description/>
  <dc:language>en-US</dc:language>
  <cp:lastModifiedBy>User1</cp:lastModifiedBy>
  <cp:lastPrinted>2007-11-20T18:15:28Z</cp:lastPrinted>
  <dcterms:modified xsi:type="dcterms:W3CDTF">2026-10-16T04:17:27Z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